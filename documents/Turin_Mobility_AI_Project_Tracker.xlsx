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eyha\Desktop\"/>
    </mc:Choice>
  </mc:AlternateContent>
  <xr:revisionPtr revIDLastSave="0" documentId="13_ncr:1_{505BA5C7-8A04-4C01-8378-E32718C8173F}" xr6:coauthVersionLast="47" xr6:coauthVersionMax="47" xr10:uidLastSave="{00000000-0000-0000-0000-000000000000}"/>
  <bookViews>
    <workbookView xWindow="-108" yWindow="-108" windowWidth="23256" windowHeight="12456" activeTab="1" xr2:uid="{00000000-000D-0000-FFFF-FFFF00000000}"/>
  </bookViews>
  <sheets>
    <sheet name="Dashboard" sheetId="1" r:id="rId1"/>
    <sheet name="Project Plan" sheetId="2" r:id="rId2"/>
    <sheet name="Daily Log" sheetId="3" r:id="rId3"/>
    <sheet name="Mileston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 r="B14" i="1"/>
  <c r="B11" i="1"/>
  <c r="B7" i="1"/>
  <c r="E6" i="1"/>
  <c r="B6" i="1"/>
  <c r="E5" i="1"/>
  <c r="B5" i="1"/>
  <c r="E4" i="1"/>
  <c r="B4" i="1"/>
</calcChain>
</file>

<file path=xl/sharedStrings.xml><?xml version="1.0" encoding="utf-8"?>
<sst xmlns="http://schemas.openxmlformats.org/spreadsheetml/2006/main" count="203" uniqueCount="146">
  <si>
    <t>Turin Mobility AI — Project Progress Dashboard</t>
  </si>
  <si>
    <t>Metric</t>
  </si>
  <si>
    <t>Value</t>
  </si>
  <si>
    <t>Progress Metric</t>
  </si>
  <si>
    <t>Total Tasks</t>
  </si>
  <si>
    <t>Overall Progress</t>
  </si>
  <si>
    <t>Completed</t>
  </si>
  <si>
    <t>Milestones Done</t>
  </si>
  <si>
    <t>In Progress</t>
  </si>
  <si>
    <t>Days Logged</t>
  </si>
  <si>
    <t>Blocked</t>
  </si>
  <si>
    <t>Day</t>
  </si>
  <si>
    <t>Average Progress %</t>
  </si>
  <si>
    <t>How to use: Update Status, Progress %, Notes and Daily Log every day. The Dashboard updates automatically.</t>
  </si>
  <si>
    <t>Turin Mobility AI — 10-Day Project Plan</t>
  </si>
  <si>
    <t>Date</t>
  </si>
  <si>
    <t>Phase</t>
  </si>
  <si>
    <t>Task</t>
  </si>
  <si>
    <t>Deliverable</t>
  </si>
  <si>
    <t>Status</t>
  </si>
  <si>
    <t>Progress %</t>
  </si>
  <si>
    <t>Notes / Issues</t>
  </si>
  <si>
    <t>Evidence / File</t>
  </si>
  <si>
    <t>Data</t>
  </si>
  <si>
    <t>Download Traffic and Parking data</t>
  </si>
  <si>
    <t>traffic.xml and parking.xml</t>
  </si>
  <si>
    <t>Done</t>
  </si>
  <si>
    <t>Official 5T real-time feeds</t>
  </si>
  <si>
    <t>data/raw/</t>
  </si>
  <si>
    <t>Inspect XML structure</t>
  </si>
  <si>
    <t>Fields and record structure understood</t>
  </si>
  <si>
    <t>Traffic: 112 records; Parking: 41 records</t>
  </si>
  <si>
    <t>notebooks/01_data_inspection.ipynb</t>
  </si>
  <si>
    <t>Check missing values and duplicates</t>
  </si>
  <si>
    <t>Data quality checks</t>
  </si>
  <si>
    <t>Parking has 4 missing values in free; all have status 0</t>
  </si>
  <si>
    <t>Convert numeric columns to correct data types</t>
  </si>
  <si>
    <t>Clean Pandas DataFrames</t>
  </si>
  <si>
    <t>Not Started</t>
  </si>
  <si>
    <t>notebooks/02_data_cleaning.ipynb</t>
  </si>
  <si>
    <t>Database</t>
  </si>
  <si>
    <t>Design PostgreSQL tables and relationships</t>
  </si>
  <si>
    <t>Database schema</t>
  </si>
  <si>
    <t>Load cleaned data into PostgreSQL</t>
  </si>
  <si>
    <t>Working PostgreSQL database</t>
  </si>
  <si>
    <t>Analysis</t>
  </si>
  <si>
    <t>Write SQL analysis queries</t>
  </si>
  <si>
    <t>SQL analysis file</t>
  </si>
  <si>
    <t>sql/03_analysis_queries.sql</t>
  </si>
  <si>
    <t>Perform Python EDA</t>
  </si>
  <si>
    <t>EDA notebook and charts</t>
  </si>
  <si>
    <t>notebooks/03_exploratory_analysis.ipynb</t>
  </si>
  <si>
    <t>BI</t>
  </si>
  <si>
    <t>Build a small Power BI dashboard</t>
  </si>
  <si>
    <t>1-page mobility dashboard</t>
  </si>
  <si>
    <t>powerbi/dashboard.pbix</t>
  </si>
  <si>
    <t>RAG</t>
  </si>
  <si>
    <t>Collect official ZTL and parking documents</t>
  </si>
  <si>
    <t>Official document set</t>
  </si>
  <si>
    <t>documents/official/</t>
  </si>
  <si>
    <t>Clean and chunk documents</t>
  </si>
  <si>
    <t>Prepared text chunks</t>
  </si>
  <si>
    <t>src/rag/ingest.py</t>
  </si>
  <si>
    <t>Create embeddings and vector database</t>
  </si>
  <si>
    <t>Persistent Chroma database</t>
  </si>
  <si>
    <t>src/rag/</t>
  </si>
  <si>
    <t>Build retrieval function</t>
  </si>
  <si>
    <t>Working RAG prototype</t>
  </si>
  <si>
    <t>src/rag/retriever.py</t>
  </si>
  <si>
    <t>Add source citations</t>
  </si>
  <si>
    <t>Grounded answers with sources</t>
  </si>
  <si>
    <t>Agent</t>
  </si>
  <si>
    <t>Create Data Analysis tool</t>
  </si>
  <si>
    <t>Working data tool</t>
  </si>
  <si>
    <t>src/agent/tools.py</t>
  </si>
  <si>
    <t>Create RAG tool</t>
  </si>
  <si>
    <t>Working RAG tool</t>
  </si>
  <si>
    <t>Build agent routing</t>
  </si>
  <si>
    <t>Agent chooses correct tool</t>
  </si>
  <si>
    <t>src/agent/agent.py</t>
  </si>
  <si>
    <t>Test multi-tool questions</t>
  </si>
  <si>
    <t>Combined Data + RAG answers</t>
  </si>
  <si>
    <t>evaluation/</t>
  </si>
  <si>
    <t>App</t>
  </si>
  <si>
    <t>Build Streamlit interface</t>
  </si>
  <si>
    <t>Working application</t>
  </si>
  <si>
    <t>app.py</t>
  </si>
  <si>
    <t>Evaluation</t>
  </si>
  <si>
    <t>Evaluate 20 questions</t>
  </si>
  <si>
    <t>Evaluation results</t>
  </si>
  <si>
    <t>evaluation/results.csv</t>
  </si>
  <si>
    <t>Delivery</t>
  </si>
  <si>
    <t>Portfolio-ready repository</t>
  </si>
  <si>
    <t>README.md / Dockerfile</t>
  </si>
  <si>
    <t>Daily Work Log — Update This Every Day</t>
  </si>
  <si>
    <t>What I Completed Today</t>
  </si>
  <si>
    <t>Problems / Blockers</t>
  </si>
  <si>
    <t>What I Learned</t>
  </si>
  <si>
    <t>Next Step</t>
  </si>
  <si>
    <t>Time Spent (hrs)</t>
  </si>
  <si>
    <t>Daily Status</t>
  </si>
  <si>
    <t>Milestone</t>
  </si>
  <si>
    <t>Target Day</t>
  </si>
  <si>
    <t>Target Date</t>
  </si>
  <si>
    <t>Success Criteria</t>
  </si>
  <si>
    <t>Notes</t>
  </si>
  <si>
    <t>M1 — Raw Data Ready</t>
  </si>
  <si>
    <t>Traffic and Parking XML downloaded and inspected</t>
  </si>
  <si>
    <t>M2 — Clean Data Ready</t>
  </si>
  <si>
    <t>Data quality checked and numeric columns converted</t>
  </si>
  <si>
    <t>M3 — PostgreSQL Database Ready</t>
  </si>
  <si>
    <t>Tables, relationships and data load completed</t>
  </si>
  <si>
    <t>M4 — Data Analysis &amp; Dashboard Ready</t>
  </si>
  <si>
    <t>SQL/EDA complete and 1-page Power BI dashboard built</t>
  </si>
  <si>
    <t>M5 — RAG Working</t>
  </si>
  <si>
    <t>Official documents retrieved with source-grounded answers</t>
  </si>
  <si>
    <t>M6 — AI Agent Working</t>
  </si>
  <si>
    <t>Agent routes between Data and RAG tools correctly</t>
  </si>
  <si>
    <t>M7 — Final Demo Ready</t>
  </si>
  <si>
    <t>Project Milestones Milestone یعنی یک نقطه مهم تحویل</t>
  </si>
  <si>
    <t>Downloaded and inspected the official Turin Traffic and Parking datasets.Traffic: 112 records.Parking: 41 records.Checked columns, missing values and duplicate records</t>
  </si>
  <si>
    <t>Learned how to read XML data with Python, inspect XML attributes, convert XML records into Pandas DataFrames, and perform basic data quality checks.</t>
  </si>
  <si>
    <t>convert trafic and parking from object to float and int</t>
  </si>
  <si>
    <t>convert data type from trafic and parking to float and int</t>
  </si>
  <si>
    <t xml:space="preserve">I used FOR for changing object to int and float in trafic and for parking I used pd.tonumeric and FOR here python autpmatocally understand which of them must change to float which of them change to int in parking we have missing value it is better use it </t>
  </si>
  <si>
    <t xml:space="preserve"> collected_at = pd.Timestamp.now() for making timestep we need for making  trafica and parking observation 2- making csv file for traffic and parking after cleaning data change xml to csv43- make tabel in posteger for paring and traffic make quary -5convert data from python to table parking and traffic  </t>
  </si>
  <si>
    <t xml:space="preserve">primary keys in traffic we have different offset but both positive for sensor-i so we consider sensor-id+direction+offset as primary key </t>
  </si>
  <si>
    <t xml:space="preserve">paparking_locations,parkinion observation </t>
  </si>
  <si>
    <t>creat csv parking?clean ,traficcc dlean , parking observation and traffice observation</t>
  </si>
  <si>
    <t>2 hours</t>
  </si>
  <si>
    <t xml:space="preserve">make tabel make relation in posgersql and convert clean data from python to postersql </t>
  </si>
  <si>
    <t xml:space="preserve">library that I installed in this projects </t>
  </si>
  <si>
    <t>write code in sql</t>
  </si>
  <si>
    <t>SELECT</t>
  </si>
  <si>
    <t>WHERE</t>
  </si>
  <si>
    <t>ORDER BY</t>
  </si>
  <si>
    <t>COUNT</t>
  </si>
  <si>
    <t>SUM</t>
  </si>
  <si>
    <t>AVG</t>
  </si>
  <si>
    <t>IS NULL</t>
  </si>
  <si>
    <t>GROUP BY</t>
  </si>
  <si>
    <t>calculated columns</t>
  </si>
  <si>
    <t>1-write 10question for parking and traffuc2-for 7 days want to collect data in Windows Task Scheduler</t>
  </si>
  <si>
    <t xml:space="preserve">finish project </t>
  </si>
  <si>
    <t>Finalize README, and GitHub</t>
  </si>
  <si>
    <t>Streamlit, evaluation, README, and GitHub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</si>
</sst>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5">
    <font>
      <sz val="11"/>
      <name val="Carlito"/>
    </font>
    <font>
      <b/>
      <sz val="16"/>
      <color rgb="FFFFFFFF"/>
      <name val="Carlito"/>
    </font>
    <font>
      <b/>
      <sz val="11"/>
      <name val="Carlito"/>
    </font>
    <font>
      <b/>
      <sz val="18"/>
      <color rgb="FFFFFFFF"/>
      <name val="Carlito"/>
    </font>
    <font>
      <i/>
      <sz val="11"/>
      <name val="Carlito"/>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8064A2"/>
      </patternFill>
    </fill>
    <fill>
      <patternFill patternType="solid">
        <fgColor rgb="FFE4DFEC"/>
      </patternFill>
    </fill>
    <fill>
      <patternFill patternType="solid">
        <fgColor rgb="FF203864"/>
      </patternFill>
    </fill>
    <fill>
      <patternFill patternType="solid">
        <fgColor rgb="FFFFF2CC"/>
      </patternFill>
    </fill>
  </fills>
  <borders count="1">
    <border>
      <left/>
      <right/>
      <top/>
      <bottom/>
      <diagonal/>
    </border>
  </borders>
  <cellStyleXfs count="1">
    <xf numFmtId="0" fontId="0" fillId="0" borderId="0"/>
  </cellStyleXfs>
  <cellXfs count="18">
    <xf numFmtId="0" fontId="0" fillId="0" borderId="0" xfId="0"/>
    <xf numFmtId="0" fontId="2" fillId="3" borderId="0" xfId="0" applyFont="1" applyFill="1"/>
    <xf numFmtId="0" fontId="2" fillId="3" borderId="0" xfId="0" applyFont="1" applyFill="1" applyAlignment="1">
      <alignment horizontal="center" vertical="center" wrapText="1"/>
    </xf>
    <xf numFmtId="1" fontId="0" fillId="0" borderId="0" xfId="0" applyNumberFormat="1"/>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0" fontId="2" fillId="5" borderId="0" xfId="0" applyFont="1" applyFill="1"/>
    <xf numFmtId="0" fontId="2" fillId="5" borderId="0" xfId="0" applyFont="1" applyFill="1" applyAlignment="1">
      <alignment horizontal="center" wrapText="1"/>
    </xf>
    <xf numFmtId="165" fontId="0" fillId="0" borderId="0" xfId="0" applyNumberFormat="1" applyAlignment="1">
      <alignment wrapText="1"/>
    </xf>
    <xf numFmtId="0" fontId="2" fillId="7" borderId="0" xfId="0" applyFont="1" applyFill="1" applyAlignment="1">
      <alignment horizontal="center" wrapText="1"/>
    </xf>
    <xf numFmtId="9" fontId="0" fillId="0" borderId="0" xfId="0" applyNumberFormat="1"/>
    <xf numFmtId="0" fontId="1" fillId="4" borderId="0" xfId="0" applyFont="1" applyFill="1" applyAlignment="1">
      <alignment horizontal="center"/>
    </xf>
    <xf numFmtId="0" fontId="0" fillId="0" borderId="0" xfId="0"/>
    <xf numFmtId="0" fontId="3" fillId="8" borderId="0" xfId="0" applyFont="1" applyFill="1" applyAlignment="1">
      <alignment horizontal="center"/>
    </xf>
    <xf numFmtId="0" fontId="4" fillId="9" borderId="0" xfId="0" applyFont="1" applyFill="1" applyAlignment="1">
      <alignment horizontal="center" wrapText="1"/>
    </xf>
    <xf numFmtId="0" fontId="1" fillId="2" borderId="0" xfId="0" applyFont="1" applyFill="1" applyAlignment="1">
      <alignment horizontal="center" vertical="center"/>
    </xf>
    <xf numFmtId="0" fontId="1" fillId="6" borderId="0" xfId="0" applyFont="1" applyFill="1" applyAlignment="1">
      <alignment horizontal="center"/>
    </xf>
  </cellXfs>
  <cellStyles count="1">
    <cellStyle name="Normal" xfId="0" builtinId="0"/>
  </cellStyles>
  <dxfs count="3">
    <dxf>
      <fill>
        <patternFill patternType="solid">
          <bgColor rgb="FFF4CCCC"/>
        </patternFill>
      </fill>
    </dxf>
    <dxf>
      <fill>
        <patternFill patternType="solid">
          <bgColor rgb="FFFFF2CC"/>
        </patternFill>
      </fill>
    </dxf>
    <dxf>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a:t>Progress by Day</a:t>
            </a:r>
          </a:p>
        </c:rich>
      </c:tx>
      <c:overlay val="1"/>
    </c:title>
    <c:autoTitleDeleted val="0"/>
    <c:plotArea>
      <c:layout/>
      <c:lineChart>
        <c:grouping val="standard"/>
        <c:varyColors val="1"/>
        <c:ser>
          <c:idx val="0"/>
          <c:order val="0"/>
          <c:tx>
            <c:v>Average Progress %</c:v>
          </c:tx>
          <c:marker>
            <c:symbol val="none"/>
          </c:marker>
          <c:cat>
            <c:numRef>
              <c:f>Dashboard!$A$11:$A$20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Dashboard!$B$11:$B$20</c:f>
              <c:numCache>
                <c:formatCode>0</c:formatCode>
                <c:ptCount val="10"/>
                <c:pt idx="0">
                  <c:v>100</c:v>
                </c:pt>
                <c:pt idx="1">
                  <c:v>100</c:v>
                </c:pt>
                <c:pt idx="2">
                  <c:v>100</c:v>
                </c:pt>
                <c:pt idx="3">
                  <c:v>50</c:v>
                </c:pt>
                <c:pt idx="4">
                  <c:v>15</c:v>
                </c:pt>
                <c:pt idx="5">
                  <c:v>100</c:v>
                </c:pt>
                <c:pt idx="6">
                  <c:v>100</c:v>
                </c:pt>
                <c:pt idx="7">
                  <c:v>100</c:v>
                </c:pt>
                <c:pt idx="8">
                  <c:v>100</c:v>
                </c:pt>
                <c:pt idx="9">
                  <c:v>100</c:v>
                </c:pt>
              </c:numCache>
            </c:numRef>
          </c:val>
          <c:smooth val="1"/>
          <c:extLst>
            <c:ext xmlns:c16="http://schemas.microsoft.com/office/drawing/2014/chart" uri="{C3380CC4-5D6E-409C-BE32-E72D297353CC}">
              <c16:uniqueId val="{00000000-15E1-44B1-8892-838823886FF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8</xdr:row>
      <xdr:rowOff>0</xdr:rowOff>
    </xdr:from>
    <xdr:to>
      <xdr:col>8</xdr:col>
      <xdr:colOff>0</xdr:colOff>
      <xdr:row>22</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PlanTable" displayName="ProjectPlanTable" ref="A2:I23" totalsRowShown="0">
  <tableColumns count="9">
    <tableColumn id="1" xr3:uid="{00000000-0010-0000-0000-000001000000}" name="Day"/>
    <tableColumn id="2" xr3:uid="{00000000-0010-0000-0000-000002000000}" name="Date"/>
    <tableColumn id="3" xr3:uid="{00000000-0010-0000-0000-000003000000}" name="Phase"/>
    <tableColumn id="4" xr3:uid="{00000000-0010-0000-0000-000004000000}" name="Task"/>
    <tableColumn id="5" xr3:uid="{00000000-0010-0000-0000-000005000000}" name="Deliverable"/>
    <tableColumn id="6" xr3:uid="{00000000-0010-0000-0000-000006000000}" name="Status"/>
    <tableColumn id="7" xr3:uid="{00000000-0010-0000-0000-000007000000}" name="Progress %"/>
    <tableColumn id="8" xr3:uid="{00000000-0010-0000-0000-000008000000}" name="Notes / Issues"/>
    <tableColumn id="9" xr3:uid="{00000000-0010-0000-0000-000009000000}" name="Evidence / Fi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ilyLogTable" displayName="DailyLogTable" ref="A2:J12" totalsRowShown="0">
  <tableColumns count="10">
    <tableColumn id="1" xr3:uid="{00000000-0010-0000-0100-000001000000}" name="Day"/>
    <tableColumn id="2" xr3:uid="{00000000-0010-0000-0100-000002000000}" name="Date"/>
    <tableColumn id="3" xr3:uid="{00000000-0010-0000-0100-000003000000}" name="What I Completed Today"/>
    <tableColumn id="4" xr3:uid="{00000000-0010-0000-0100-000004000000}" name="Problems / Blockers"/>
    <tableColumn id="5" xr3:uid="{00000000-0010-0000-0100-000005000000}" name="What I Learned"/>
    <tableColumn id="6" xr3:uid="{00000000-0010-0000-0100-000006000000}" name="Next Step"/>
    <tableColumn id="7" xr3:uid="{00000000-0010-0000-0100-000007000000}" name="Time Spent (hrs)"/>
    <tableColumn id="8" xr3:uid="{00000000-0010-0000-0100-000008000000}" name="Daily Status"/>
    <tableColumn id="9" xr3:uid="{55D80DD0-2E45-4761-AF4C-357F6439B844}" name="library that I installed in this projects "/>
    <tableColumn id="10" xr3:uid="{83398ABD-4741-4D0F-AFEC-42AAFBD2F8E0}" name="write code in sq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ilestonesTable" displayName="MilestonesTable" ref="A2:F9" totalsRowShown="0">
  <tableColumns count="6">
    <tableColumn id="1" xr3:uid="{00000000-0010-0000-0200-000001000000}" name="Milestone"/>
    <tableColumn id="2" xr3:uid="{00000000-0010-0000-0200-000002000000}" name="Target Day"/>
    <tableColumn id="3" xr3:uid="{00000000-0010-0000-0200-000003000000}" name="Target Date"/>
    <tableColumn id="4" xr3:uid="{00000000-0010-0000-0200-000004000000}" name="Success Criteria"/>
    <tableColumn id="5" xr3:uid="{00000000-0010-0000-0200-000005000000}" name="Status"/>
    <tableColumn id="6" xr3:uid="{00000000-0010-0000-0200-000006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B17" sqref="B17"/>
    </sheetView>
  </sheetViews>
  <sheetFormatPr defaultRowHeight="13.8"/>
  <cols>
    <col min="1" max="1" width="22" customWidth="1"/>
    <col min="2" max="2" width="16" customWidth="1"/>
    <col min="4" max="4" width="22" customWidth="1"/>
    <col min="5" max="5" width="16" customWidth="1"/>
  </cols>
  <sheetData>
    <row r="1" spans="1:8" ht="22.8">
      <c r="A1" s="14" t="s">
        <v>0</v>
      </c>
      <c r="B1" s="13"/>
      <c r="C1" s="13"/>
      <c r="D1" s="13"/>
      <c r="E1" s="13"/>
      <c r="F1" s="13"/>
      <c r="G1" s="13"/>
      <c r="H1" s="13"/>
    </row>
    <row r="3" spans="1:8">
      <c r="A3" s="1" t="s">
        <v>1</v>
      </c>
      <c r="B3" s="1" t="s">
        <v>2</v>
      </c>
      <c r="D3" s="7" t="s">
        <v>3</v>
      </c>
      <c r="E3" s="7" t="s">
        <v>2</v>
      </c>
    </row>
    <row r="4" spans="1:8">
      <c r="A4" t="s">
        <v>4</v>
      </c>
      <c r="B4">
        <f>COUNTA('Project Plan'!D3:D23)</f>
        <v>21</v>
      </c>
      <c r="D4" t="s">
        <v>5</v>
      </c>
      <c r="E4" s="11">
        <f>AVERAGE('Project Plan'!G3:G23)/100</f>
        <v>0.90476190476190477</v>
      </c>
    </row>
    <row r="5" spans="1:8">
      <c r="A5" t="s">
        <v>6</v>
      </c>
      <c r="B5">
        <f>COUNTIF('Project Plan'!F3:F23,"Done")</f>
        <v>19</v>
      </c>
      <c r="D5" t="s">
        <v>7</v>
      </c>
      <c r="E5">
        <f>COUNTIF(Milestones!E3:E9,"Done")</f>
        <v>6</v>
      </c>
    </row>
    <row r="6" spans="1:8">
      <c r="A6" t="s">
        <v>8</v>
      </c>
      <c r="B6">
        <f>COUNTIF('Project Plan'!F3:F23,"In Progress")</f>
        <v>0</v>
      </c>
      <c r="D6" t="s">
        <v>9</v>
      </c>
      <c r="E6">
        <f>COUNTIF('Daily Log'!H3:H12,"Done")</f>
        <v>3</v>
      </c>
    </row>
    <row r="7" spans="1:8">
      <c r="A7" t="s">
        <v>10</v>
      </c>
      <c r="B7">
        <f>COUNTIF('Project Plan'!F3:F23,"Blocked")</f>
        <v>0</v>
      </c>
    </row>
    <row r="10" spans="1:8">
      <c r="A10" t="s">
        <v>11</v>
      </c>
      <c r="B10" t="s">
        <v>12</v>
      </c>
    </row>
    <row r="11" spans="1:8">
      <c r="A11">
        <v>1</v>
      </c>
      <c r="B11" s="3">
        <f>IFERROR(AVERAGEIF('Project Plan'!A$3:A$23,A11,'Project Plan'!G$3:G$23),0)</f>
        <v>100</v>
      </c>
    </row>
    <row r="12" spans="1:8">
      <c r="A12">
        <v>2</v>
      </c>
      <c r="B12" s="3">
        <v>100</v>
      </c>
    </row>
    <row r="13" spans="1:8">
      <c r="A13">
        <v>3</v>
      </c>
      <c r="B13" s="3">
        <v>100</v>
      </c>
    </row>
    <row r="14" spans="1:8">
      <c r="A14">
        <v>4</v>
      </c>
      <c r="B14" s="3">
        <f>IFERROR(AVERAGEIF('Project Plan'!A$3:A$23,A14,'Project Plan'!G$3:G$23),0)</f>
        <v>50</v>
      </c>
    </row>
    <row r="15" spans="1:8">
      <c r="A15">
        <v>5</v>
      </c>
      <c r="B15" s="3">
        <v>15</v>
      </c>
    </row>
    <row r="16" spans="1:8">
      <c r="A16">
        <v>6</v>
      </c>
      <c r="B16" s="3">
        <f>IFERROR(AVERAGEIF('Project Plan'!A$3:A$23,A16,'Project Plan'!G$3:G$23),0)</f>
        <v>100</v>
      </c>
    </row>
    <row r="17" spans="1:8">
      <c r="A17">
        <v>7</v>
      </c>
      <c r="B17" s="3">
        <f>IFERROR(AVERAGEIF('Project Plan'!A$3:A$23,A17,'Project Plan'!G$3:G$23),0)</f>
        <v>100</v>
      </c>
    </row>
    <row r="18" spans="1:8">
      <c r="A18">
        <v>8</v>
      </c>
      <c r="B18" s="3">
        <f>IFERROR(AVERAGEIF('Project Plan'!A$3:A$23,A18,'Project Plan'!G$3:G$23),0)</f>
        <v>100</v>
      </c>
    </row>
    <row r="19" spans="1:8">
      <c r="A19">
        <v>9</v>
      </c>
      <c r="B19" s="3">
        <f>IFERROR(AVERAGEIF('Project Plan'!A$3:A$23,A19,'Project Plan'!G$3:G$23),0)</f>
        <v>100</v>
      </c>
    </row>
    <row r="20" spans="1:8">
      <c r="A20">
        <v>10</v>
      </c>
      <c r="B20" s="3">
        <f>IFERROR(AVERAGEIF('Project Plan'!A$3:A$23,A20,'Project Plan'!G$3:G$23),0)</f>
        <v>100</v>
      </c>
    </row>
    <row r="23" spans="1:8" ht="14.4">
      <c r="A23" s="15" t="s">
        <v>13</v>
      </c>
      <c r="B23" s="13"/>
      <c r="C23" s="13"/>
      <c r="D23" s="13"/>
      <c r="E23" s="13"/>
      <c r="F23" s="13"/>
      <c r="G23" s="13"/>
      <c r="H23" s="13"/>
    </row>
  </sheetData>
  <mergeCells count="2">
    <mergeCell ref="A1:H1"/>
    <mergeCell ref="A23:H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abSelected="1" topLeftCell="A4" workbookViewId="0">
      <selection activeCell="E17" sqref="E17"/>
    </sheetView>
  </sheetViews>
  <sheetFormatPr defaultRowHeight="13.8"/>
  <cols>
    <col min="1" max="1" width="7" customWidth="1"/>
    <col min="2" max="2" width="12" customWidth="1"/>
    <col min="3" max="3" width="14" customWidth="1"/>
    <col min="4" max="4" width="34" customWidth="1"/>
    <col min="5" max="5" width="32" customWidth="1"/>
    <col min="6" max="6" width="14" customWidth="1"/>
    <col min="7" max="7" width="12" customWidth="1"/>
    <col min="8" max="8" width="38" customWidth="1"/>
    <col min="9" max="9" width="34" customWidth="1"/>
  </cols>
  <sheetData>
    <row r="1" spans="1:9" ht="22.35" customHeight="1">
      <c r="A1" s="16" t="s">
        <v>14</v>
      </c>
      <c r="B1" s="13"/>
      <c r="C1" s="13"/>
      <c r="D1" s="13"/>
      <c r="E1" s="13"/>
      <c r="F1" s="13"/>
      <c r="G1" s="13"/>
      <c r="H1" s="13"/>
      <c r="I1" s="13"/>
    </row>
    <row r="2" spans="1:9">
      <c r="A2" s="2" t="s">
        <v>11</v>
      </c>
      <c r="B2" s="2" t="s">
        <v>15</v>
      </c>
      <c r="C2" s="2" t="s">
        <v>16</v>
      </c>
      <c r="D2" s="2" t="s">
        <v>17</v>
      </c>
      <c r="E2" s="2" t="s">
        <v>18</v>
      </c>
      <c r="F2" s="2" t="s">
        <v>19</v>
      </c>
      <c r="G2" s="2" t="s">
        <v>20</v>
      </c>
      <c r="H2" s="2" t="s">
        <v>21</v>
      </c>
      <c r="I2" s="2" t="s">
        <v>22</v>
      </c>
    </row>
    <row r="3" spans="1:9">
      <c r="A3" s="4">
        <v>1</v>
      </c>
      <c r="B3" s="5">
        <v>46274</v>
      </c>
      <c r="C3" s="4" t="s">
        <v>23</v>
      </c>
      <c r="D3" s="4" t="s">
        <v>24</v>
      </c>
      <c r="E3" s="4" t="s">
        <v>25</v>
      </c>
      <c r="F3" s="4" t="s">
        <v>26</v>
      </c>
      <c r="G3" s="6">
        <v>100</v>
      </c>
      <c r="H3" s="4" t="s">
        <v>27</v>
      </c>
      <c r="I3" s="4" t="s">
        <v>28</v>
      </c>
    </row>
    <row r="4" spans="1:9" ht="27.6">
      <c r="A4" s="4">
        <v>1</v>
      </c>
      <c r="B4" s="5">
        <v>46274</v>
      </c>
      <c r="C4" s="4" t="s">
        <v>23</v>
      </c>
      <c r="D4" s="4" t="s">
        <v>29</v>
      </c>
      <c r="E4" s="4" t="s">
        <v>30</v>
      </c>
      <c r="F4" s="4" t="s">
        <v>26</v>
      </c>
      <c r="G4" s="6">
        <v>100</v>
      </c>
      <c r="H4" s="4" t="s">
        <v>31</v>
      </c>
      <c r="I4" s="4" t="s">
        <v>32</v>
      </c>
    </row>
    <row r="5" spans="1:9" ht="27.6">
      <c r="A5" s="4">
        <v>2</v>
      </c>
      <c r="B5" s="5">
        <v>46275</v>
      </c>
      <c r="C5" s="4" t="s">
        <v>23</v>
      </c>
      <c r="D5" s="4" t="s">
        <v>33</v>
      </c>
      <c r="E5" s="4" t="s">
        <v>34</v>
      </c>
      <c r="F5" s="4" t="s">
        <v>26</v>
      </c>
      <c r="G5" s="6">
        <v>100</v>
      </c>
      <c r="H5" s="4" t="s">
        <v>35</v>
      </c>
      <c r="I5" s="4" t="s">
        <v>32</v>
      </c>
    </row>
    <row r="6" spans="1:9" ht="27.6">
      <c r="A6" s="4">
        <v>2</v>
      </c>
      <c r="B6" s="5">
        <v>46275</v>
      </c>
      <c r="C6" s="4" t="s">
        <v>23</v>
      </c>
      <c r="D6" s="4" t="s">
        <v>36</v>
      </c>
      <c r="E6" s="4" t="s">
        <v>37</v>
      </c>
      <c r="F6" s="4" t="s">
        <v>26</v>
      </c>
      <c r="G6" s="6">
        <v>100</v>
      </c>
      <c r="H6" s="4" t="s">
        <v>122</v>
      </c>
      <c r="I6" s="4" t="s">
        <v>39</v>
      </c>
    </row>
    <row r="7" spans="1:9" ht="41.4">
      <c r="A7" s="4">
        <v>3</v>
      </c>
      <c r="B7" s="5">
        <v>46276</v>
      </c>
      <c r="C7" s="4" t="s">
        <v>40</v>
      </c>
      <c r="D7" s="4" t="s">
        <v>41</v>
      </c>
      <c r="E7" s="4" t="s">
        <v>42</v>
      </c>
      <c r="F7" s="4" t="s">
        <v>26</v>
      </c>
      <c r="G7" s="6">
        <v>100</v>
      </c>
      <c r="H7" s="4" t="s">
        <v>126</v>
      </c>
      <c r="I7" s="4" t="s">
        <v>127</v>
      </c>
    </row>
    <row r="8" spans="1:9" ht="41.4">
      <c r="A8" s="4">
        <v>3</v>
      </c>
      <c r="B8" s="5">
        <v>46276</v>
      </c>
      <c r="C8" s="4" t="s">
        <v>40</v>
      </c>
      <c r="D8" s="4" t="s">
        <v>43</v>
      </c>
      <c r="E8" s="4" t="s">
        <v>44</v>
      </c>
      <c r="F8" s="4" t="s">
        <v>26</v>
      </c>
      <c r="G8" s="6">
        <v>100</v>
      </c>
      <c r="H8" s="4"/>
      <c r="I8" s="4" t="s">
        <v>128</v>
      </c>
    </row>
    <row r="9" spans="1:9">
      <c r="A9" s="4">
        <v>4</v>
      </c>
      <c r="B9" s="5">
        <v>46277</v>
      </c>
      <c r="C9" s="4" t="s">
        <v>45</v>
      </c>
      <c r="D9" s="4" t="s">
        <v>46</v>
      </c>
      <c r="E9" s="4" t="s">
        <v>47</v>
      </c>
      <c r="F9" s="4" t="s">
        <v>26</v>
      </c>
      <c r="G9" s="6">
        <v>100</v>
      </c>
      <c r="H9" s="4"/>
      <c r="I9" s="4" t="s">
        <v>48</v>
      </c>
    </row>
    <row r="10" spans="1:9" ht="27.6">
      <c r="A10" s="4">
        <v>4</v>
      </c>
      <c r="B10" s="5">
        <v>46277</v>
      </c>
      <c r="C10" s="4" t="s">
        <v>45</v>
      </c>
      <c r="D10" s="4" t="s">
        <v>49</v>
      </c>
      <c r="E10" s="4" t="s">
        <v>50</v>
      </c>
      <c r="F10" s="4" t="s">
        <v>38</v>
      </c>
      <c r="G10" s="6">
        <v>0</v>
      </c>
      <c r="H10" s="4"/>
      <c r="I10" s="4" t="s">
        <v>51</v>
      </c>
    </row>
    <row r="11" spans="1:9">
      <c r="A11" s="4">
        <v>5</v>
      </c>
      <c r="B11" s="5">
        <v>46278</v>
      </c>
      <c r="C11" s="4" t="s">
        <v>52</v>
      </c>
      <c r="D11" s="4" t="s">
        <v>53</v>
      </c>
      <c r="E11" s="4" t="s">
        <v>54</v>
      </c>
      <c r="F11" s="4" t="s">
        <v>38</v>
      </c>
      <c r="G11" s="6">
        <v>0</v>
      </c>
      <c r="H11" s="4"/>
      <c r="I11" s="4" t="s">
        <v>55</v>
      </c>
    </row>
    <row r="12" spans="1:9" ht="27.6">
      <c r="A12" s="4">
        <v>5</v>
      </c>
      <c r="B12" s="5">
        <v>46278</v>
      </c>
      <c r="C12" s="4" t="s">
        <v>56</v>
      </c>
      <c r="D12" s="4" t="s">
        <v>57</v>
      </c>
      <c r="E12" s="4" t="s">
        <v>58</v>
      </c>
      <c r="F12" s="4" t="s">
        <v>26</v>
      </c>
      <c r="G12" s="6">
        <v>100</v>
      </c>
      <c r="H12" s="4"/>
      <c r="I12" s="4" t="s">
        <v>59</v>
      </c>
    </row>
    <row r="13" spans="1:9">
      <c r="A13" s="4">
        <v>6</v>
      </c>
      <c r="B13" s="5">
        <v>46279</v>
      </c>
      <c r="C13" s="4" t="s">
        <v>56</v>
      </c>
      <c r="D13" s="4" t="s">
        <v>60</v>
      </c>
      <c r="E13" s="4" t="s">
        <v>61</v>
      </c>
      <c r="F13" s="4" t="s">
        <v>26</v>
      </c>
      <c r="G13" s="6">
        <v>100</v>
      </c>
      <c r="H13" s="4"/>
      <c r="I13" s="4" t="s">
        <v>62</v>
      </c>
    </row>
    <row r="14" spans="1:9">
      <c r="A14" s="4">
        <v>6</v>
      </c>
      <c r="B14" s="5">
        <v>46279</v>
      </c>
      <c r="C14" s="4" t="s">
        <v>56</v>
      </c>
      <c r="D14" s="4" t="s">
        <v>63</v>
      </c>
      <c r="E14" s="4" t="s">
        <v>64</v>
      </c>
      <c r="F14" s="4" t="s">
        <v>26</v>
      </c>
      <c r="G14" s="6">
        <v>100</v>
      </c>
      <c r="H14" s="4"/>
      <c r="I14" s="4" t="s">
        <v>65</v>
      </c>
    </row>
    <row r="15" spans="1:9">
      <c r="A15" s="4">
        <v>7</v>
      </c>
      <c r="B15" s="5">
        <v>46280</v>
      </c>
      <c r="C15" s="4" t="s">
        <v>56</v>
      </c>
      <c r="D15" s="4" t="s">
        <v>66</v>
      </c>
      <c r="E15" s="4" t="s">
        <v>67</v>
      </c>
      <c r="F15" s="4" t="s">
        <v>26</v>
      </c>
      <c r="G15" s="6">
        <v>100</v>
      </c>
      <c r="H15" s="4"/>
      <c r="I15" s="4" t="s">
        <v>68</v>
      </c>
    </row>
    <row r="16" spans="1:9">
      <c r="A16" s="4">
        <v>7</v>
      </c>
      <c r="B16" s="5">
        <v>46280</v>
      </c>
      <c r="C16" s="4" t="s">
        <v>56</v>
      </c>
      <c r="D16" s="4" t="s">
        <v>69</v>
      </c>
      <c r="E16" s="4" t="s">
        <v>70</v>
      </c>
      <c r="F16" s="4" t="s">
        <v>26</v>
      </c>
      <c r="G16" s="6">
        <v>100</v>
      </c>
      <c r="H16" s="4"/>
      <c r="I16" s="4" t="s">
        <v>68</v>
      </c>
    </row>
    <row r="17" spans="1:9">
      <c r="A17" s="4">
        <v>8</v>
      </c>
      <c r="B17" s="5">
        <v>46281</v>
      </c>
      <c r="C17" s="4" t="s">
        <v>71</v>
      </c>
      <c r="D17" s="4" t="s">
        <v>72</v>
      </c>
      <c r="E17" s="4" t="s">
        <v>73</v>
      </c>
      <c r="F17" s="4" t="s">
        <v>26</v>
      </c>
      <c r="G17" s="6">
        <v>100</v>
      </c>
      <c r="H17" s="4"/>
      <c r="I17" s="4" t="s">
        <v>74</v>
      </c>
    </row>
    <row r="18" spans="1:9">
      <c r="A18" s="4">
        <v>8</v>
      </c>
      <c r="B18" s="5">
        <v>46281</v>
      </c>
      <c r="C18" s="4" t="s">
        <v>71</v>
      </c>
      <c r="D18" s="4" t="s">
        <v>75</v>
      </c>
      <c r="E18" s="4" t="s">
        <v>76</v>
      </c>
      <c r="F18" s="4" t="s">
        <v>26</v>
      </c>
      <c r="G18" s="6">
        <v>100</v>
      </c>
      <c r="H18" s="4"/>
      <c r="I18" s="4" t="s">
        <v>74</v>
      </c>
    </row>
    <row r="19" spans="1:9">
      <c r="A19" s="4">
        <v>9</v>
      </c>
      <c r="B19" s="5">
        <v>46282</v>
      </c>
      <c r="C19" s="4" t="s">
        <v>71</v>
      </c>
      <c r="D19" s="4" t="s">
        <v>77</v>
      </c>
      <c r="E19" s="4" t="s">
        <v>78</v>
      </c>
      <c r="F19" s="4" t="s">
        <v>26</v>
      </c>
      <c r="G19" s="6">
        <v>100</v>
      </c>
      <c r="H19" s="4"/>
      <c r="I19" s="4" t="s">
        <v>79</v>
      </c>
    </row>
    <row r="20" spans="1:9">
      <c r="A20" s="4">
        <v>9</v>
      </c>
      <c r="B20" s="5">
        <v>46282</v>
      </c>
      <c r="C20" s="4" t="s">
        <v>71</v>
      </c>
      <c r="D20" s="4" t="s">
        <v>80</v>
      </c>
      <c r="E20" s="4" t="s">
        <v>81</v>
      </c>
      <c r="F20" s="4" t="s">
        <v>26</v>
      </c>
      <c r="G20" s="6">
        <v>100</v>
      </c>
      <c r="H20" s="4"/>
      <c r="I20" s="4" t="s">
        <v>82</v>
      </c>
    </row>
    <row r="21" spans="1:9">
      <c r="A21" s="4">
        <v>10</v>
      </c>
      <c r="B21" s="5">
        <v>46283</v>
      </c>
      <c r="C21" s="4" t="s">
        <v>83</v>
      </c>
      <c r="D21" s="4" t="s">
        <v>84</v>
      </c>
      <c r="E21" s="4" t="s">
        <v>85</v>
      </c>
      <c r="F21" s="4" t="s">
        <v>26</v>
      </c>
      <c r="G21" s="6">
        <v>100</v>
      </c>
      <c r="H21" s="4"/>
      <c r="I21" s="4" t="s">
        <v>86</v>
      </c>
    </row>
    <row r="22" spans="1:9">
      <c r="A22" s="4">
        <v>10</v>
      </c>
      <c r="B22" s="5">
        <v>46283</v>
      </c>
      <c r="C22" s="4" t="s">
        <v>87</v>
      </c>
      <c r="D22" s="4" t="s">
        <v>88</v>
      </c>
      <c r="E22" s="4" t="s">
        <v>89</v>
      </c>
      <c r="F22" s="4" t="s">
        <v>26</v>
      </c>
      <c r="G22" s="6">
        <v>100</v>
      </c>
      <c r="H22" s="4"/>
      <c r="I22" s="4" t="s">
        <v>90</v>
      </c>
    </row>
    <row r="23" spans="1:9">
      <c r="A23" s="4">
        <v>10</v>
      </c>
      <c r="B23" s="5">
        <v>46283</v>
      </c>
      <c r="C23" s="4" t="s">
        <v>91</v>
      </c>
      <c r="D23" s="4" t="s">
        <v>144</v>
      </c>
      <c r="E23" s="4" t="s">
        <v>92</v>
      </c>
      <c r="F23" s="4" t="s">
        <v>26</v>
      </c>
      <c r="G23" s="6">
        <v>100</v>
      </c>
      <c r="H23" s="4"/>
      <c r="I23" s="4" t="s">
        <v>93</v>
      </c>
    </row>
  </sheetData>
  <mergeCells count="1">
    <mergeCell ref="A1:I1"/>
  </mergeCells>
  <conditionalFormatting sqref="F3:F23">
    <cfRule type="expression" dxfId="2" priority="2">
      <formula>F3="Done"</formula>
    </cfRule>
    <cfRule type="expression" dxfId="1" priority="3">
      <formula>F3="In Progress"</formula>
    </cfRule>
    <cfRule type="expression" dxfId="0" priority="4">
      <formula>F3="Blocked"</formula>
    </cfRule>
  </conditionalFormatting>
  <conditionalFormatting sqref="G3:G23">
    <cfRule type="dataBar" priority="1">
      <dataBar>
        <cfvo type="min"/>
        <cfvo type="max"/>
        <color rgb="FF156082"/>
      </dataBar>
    </cfRule>
    <cfRule type="dataBar" priority="5">
      <dataBar>
        <cfvo type="min"/>
        <cfvo type="max"/>
        <color rgb="FF156082"/>
      </dataBar>
      <extLst>
        <ext xmlns:x14="http://schemas.microsoft.com/office/spreadsheetml/2009/9/main" uri="{B025F937-C7B1-47D3-B67F-A62EFF666E3E}">
          <x14:id>{FF6FF2D8-79FA-9030-881D-DF5038ADDA65}</x14:id>
        </ext>
      </extLst>
    </cfRule>
  </conditionalFormatting>
  <dataValidations count="1">
    <dataValidation type="list" sqref="F3:F23" xr:uid="{00000000-0002-0000-0100-000000000000}">
      <formula1>"Not Started,In Progress,Done,Blocked"</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F6FF2D8-79FA-9030-881D-DF5038ADDA65}">
            <x14:dataBar>
              <x14:cfvo type="min"/>
              <x14:cfvo type="max"/>
              <x14:negativeFillColor auto="1"/>
              <x14:axisColor auto="1"/>
            </x14:dataBar>
          </x14:cfRule>
          <xm:sqref>G3:G23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workbookViewId="0">
      <selection activeCell="C12" sqref="C12"/>
    </sheetView>
  </sheetViews>
  <sheetFormatPr defaultRowHeight="13.8"/>
  <cols>
    <col min="1" max="1" width="7" customWidth="1"/>
    <col min="2" max="2" width="12" customWidth="1"/>
    <col min="3" max="3" width="81.796875" customWidth="1"/>
    <col min="4" max="4" width="32" customWidth="1"/>
    <col min="5" max="5" width="151.69921875" customWidth="1"/>
    <col min="6" max="6" width="88.3984375" customWidth="1"/>
    <col min="7" max="7" width="16" customWidth="1"/>
    <col min="8" max="8" width="14" customWidth="1"/>
  </cols>
  <sheetData>
    <row r="1" spans="1:10" ht="21">
      <c r="A1" s="12" t="s">
        <v>94</v>
      </c>
      <c r="B1" s="13"/>
      <c r="C1" s="13"/>
      <c r="D1" s="13"/>
      <c r="E1" s="13"/>
      <c r="F1" s="13"/>
      <c r="G1" s="13"/>
      <c r="H1" s="13"/>
    </row>
    <row r="2" spans="1:10">
      <c r="A2" s="8" t="s">
        <v>11</v>
      </c>
      <c r="B2" s="8" t="s">
        <v>15</v>
      </c>
      <c r="C2" s="8" t="s">
        <v>95</v>
      </c>
      <c r="D2" s="8" t="s">
        <v>96</v>
      </c>
      <c r="E2" s="8" t="s">
        <v>97</v>
      </c>
      <c r="F2" s="8" t="s">
        <v>98</v>
      </c>
      <c r="G2" s="8" t="s">
        <v>99</v>
      </c>
      <c r="H2" s="8" t="s">
        <v>100</v>
      </c>
      <c r="I2" t="s">
        <v>131</v>
      </c>
      <c r="J2" t="s">
        <v>132</v>
      </c>
    </row>
    <row r="3" spans="1:10" ht="27.6">
      <c r="A3" s="4">
        <v>1</v>
      </c>
      <c r="B3" s="5">
        <v>46274</v>
      </c>
      <c r="C3" s="4" t="s">
        <v>120</v>
      </c>
      <c r="D3" s="4"/>
      <c r="E3" s="4" t="s">
        <v>121</v>
      </c>
      <c r="F3" s="4"/>
      <c r="G3" s="9"/>
      <c r="H3" s="4" t="s">
        <v>26</v>
      </c>
    </row>
    <row r="4" spans="1:10" ht="27.6">
      <c r="A4" s="4">
        <v>2</v>
      </c>
      <c r="B4" s="5">
        <v>46275</v>
      </c>
      <c r="C4" s="4" t="s">
        <v>123</v>
      </c>
      <c r="D4" s="4"/>
      <c r="E4" s="4" t="s">
        <v>124</v>
      </c>
      <c r="F4" s="4"/>
      <c r="G4" s="9" t="s">
        <v>129</v>
      </c>
      <c r="H4" s="4" t="s">
        <v>26</v>
      </c>
      <c r="J4" t="s">
        <v>133</v>
      </c>
    </row>
    <row r="5" spans="1:10">
      <c r="A5" s="4">
        <v>3</v>
      </c>
      <c r="B5" s="5">
        <v>46277</v>
      </c>
      <c r="C5" s="4" t="s">
        <v>130</v>
      </c>
      <c r="D5" s="4"/>
      <c r="E5" t="s">
        <v>125</v>
      </c>
      <c r="F5" s="4"/>
      <c r="G5" s="9" t="s">
        <v>129</v>
      </c>
      <c r="H5" s="4" t="s">
        <v>26</v>
      </c>
      <c r="J5" t="s">
        <v>134</v>
      </c>
    </row>
    <row r="6" spans="1:10" ht="27.6">
      <c r="A6" s="4">
        <v>4</v>
      </c>
      <c r="B6" s="5">
        <v>46277</v>
      </c>
      <c r="C6" s="4" t="s">
        <v>142</v>
      </c>
      <c r="D6" s="4"/>
      <c r="F6" s="4"/>
      <c r="G6" s="9"/>
      <c r="H6" s="4" t="s">
        <v>38</v>
      </c>
      <c r="J6" t="s">
        <v>135</v>
      </c>
    </row>
    <row r="7" spans="1:10">
      <c r="A7" s="4">
        <v>5</v>
      </c>
      <c r="B7" s="5">
        <v>46278</v>
      </c>
      <c r="C7" s="4"/>
      <c r="D7" s="4"/>
      <c r="E7" s="4"/>
      <c r="F7" s="4"/>
      <c r="G7" s="9"/>
      <c r="H7" s="4" t="s">
        <v>38</v>
      </c>
      <c r="J7" t="s">
        <v>136</v>
      </c>
    </row>
    <row r="8" spans="1:10">
      <c r="A8" s="4">
        <v>6</v>
      </c>
      <c r="B8" s="5">
        <v>46279</v>
      </c>
      <c r="C8" s="4"/>
      <c r="D8" s="4"/>
      <c r="E8" s="4"/>
      <c r="F8" s="4"/>
      <c r="G8" s="9"/>
      <c r="H8" s="4" t="s">
        <v>38</v>
      </c>
      <c r="J8" t="s">
        <v>137</v>
      </c>
    </row>
    <row r="9" spans="1:10">
      <c r="A9" s="4">
        <v>7</v>
      </c>
      <c r="B9" s="5">
        <v>46280</v>
      </c>
      <c r="C9" s="4"/>
      <c r="D9" s="4"/>
      <c r="E9" s="4"/>
      <c r="F9" s="4"/>
      <c r="G9" s="9"/>
      <c r="H9" s="4" t="s">
        <v>38</v>
      </c>
      <c r="J9" t="s">
        <v>138</v>
      </c>
    </row>
    <row r="10" spans="1:10">
      <c r="A10" s="4">
        <v>8</v>
      </c>
      <c r="B10" s="5">
        <v>46281</v>
      </c>
      <c r="C10" s="4"/>
      <c r="D10" s="4"/>
      <c r="E10" s="4"/>
      <c r="F10" s="4"/>
      <c r="G10" s="9"/>
      <c r="H10" s="4" t="s">
        <v>38</v>
      </c>
      <c r="J10" t="s">
        <v>139</v>
      </c>
    </row>
    <row r="11" spans="1:10">
      <c r="A11" s="4">
        <v>9</v>
      </c>
      <c r="B11" s="5">
        <v>46282</v>
      </c>
      <c r="C11" s="4"/>
      <c r="D11" s="4"/>
      <c r="E11" s="4"/>
      <c r="F11" s="4"/>
      <c r="G11" s="9"/>
      <c r="H11" s="4" t="s">
        <v>38</v>
      </c>
      <c r="J11" t="s">
        <v>140</v>
      </c>
    </row>
    <row r="12" spans="1:10">
      <c r="A12" s="4">
        <v>10</v>
      </c>
      <c r="B12" s="5">
        <v>46283</v>
      </c>
      <c r="C12" s="4" t="s">
        <v>143</v>
      </c>
      <c r="D12" s="4"/>
      <c r="E12" s="4"/>
      <c r="F12" s="4"/>
      <c r="G12" s="9"/>
      <c r="H12" s="4" t="s">
        <v>38</v>
      </c>
      <c r="J12" t="s">
        <v>141</v>
      </c>
    </row>
  </sheetData>
  <mergeCells count="1">
    <mergeCell ref="A1:H1"/>
  </mergeCells>
  <dataValidations count="1">
    <dataValidation type="list" sqref="H3:H12" xr:uid="{00000000-0002-0000-0200-000000000000}">
      <formula1>"Not Started,In Progress,Done,Blocked"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E9" sqref="E9"/>
    </sheetView>
  </sheetViews>
  <sheetFormatPr defaultRowHeight="13.8"/>
  <cols>
    <col min="1" max="1" width="32" customWidth="1"/>
    <col min="2" max="2" width="12" customWidth="1"/>
    <col min="3" max="3" width="14" customWidth="1"/>
    <col min="4" max="4" width="46" customWidth="1"/>
    <col min="5" max="5" width="14" customWidth="1"/>
    <col min="6" max="6" width="30" customWidth="1"/>
  </cols>
  <sheetData>
    <row r="1" spans="1:6" ht="21">
      <c r="A1" s="17" t="s">
        <v>119</v>
      </c>
      <c r="B1" s="13"/>
      <c r="C1" s="13"/>
      <c r="D1" s="13"/>
      <c r="E1" s="13"/>
      <c r="F1" s="13"/>
    </row>
    <row r="2" spans="1:6">
      <c r="A2" s="10" t="s">
        <v>101</v>
      </c>
      <c r="B2" s="10" t="s">
        <v>102</v>
      </c>
      <c r="C2" s="10" t="s">
        <v>103</v>
      </c>
      <c r="D2" s="10" t="s">
        <v>104</v>
      </c>
      <c r="E2" s="10" t="s">
        <v>19</v>
      </c>
      <c r="F2" s="10" t="s">
        <v>105</v>
      </c>
    </row>
    <row r="3" spans="1:6">
      <c r="A3" s="4" t="s">
        <v>106</v>
      </c>
      <c r="B3" s="4">
        <v>1</v>
      </c>
      <c r="C3" s="5">
        <v>46274</v>
      </c>
      <c r="D3" s="4" t="s">
        <v>107</v>
      </c>
      <c r="E3" s="4" t="s">
        <v>26</v>
      </c>
      <c r="F3" s="4"/>
    </row>
    <row r="4" spans="1:6">
      <c r="A4" s="4" t="s">
        <v>108</v>
      </c>
      <c r="B4" s="4">
        <v>2</v>
      </c>
      <c r="C4" s="5">
        <v>46275</v>
      </c>
      <c r="D4" s="4" t="s">
        <v>109</v>
      </c>
      <c r="E4" s="4" t="s">
        <v>26</v>
      </c>
      <c r="F4" s="4"/>
    </row>
    <row r="5" spans="1:6">
      <c r="A5" s="4" t="s">
        <v>110</v>
      </c>
      <c r="B5" s="4">
        <v>3</v>
      </c>
      <c r="C5" s="5">
        <v>46276</v>
      </c>
      <c r="D5" s="4" t="s">
        <v>111</v>
      </c>
      <c r="E5" s="4" t="s">
        <v>26</v>
      </c>
      <c r="F5" s="4"/>
    </row>
    <row r="6" spans="1:6" ht="27.6">
      <c r="A6" s="4" t="s">
        <v>112</v>
      </c>
      <c r="B6" s="4">
        <v>5</v>
      </c>
      <c r="C6" s="5">
        <v>46278</v>
      </c>
      <c r="D6" s="4" t="s">
        <v>113</v>
      </c>
      <c r="E6" s="4" t="s">
        <v>8</v>
      </c>
      <c r="F6" s="4"/>
    </row>
    <row r="7" spans="1:6" ht="27.6">
      <c r="A7" s="4" t="s">
        <v>114</v>
      </c>
      <c r="B7" s="4">
        <v>7</v>
      </c>
      <c r="C7" s="5">
        <v>46280</v>
      </c>
      <c r="D7" s="4" t="s">
        <v>115</v>
      </c>
      <c r="E7" s="4" t="s">
        <v>26</v>
      </c>
      <c r="F7" s="4"/>
    </row>
    <row r="8" spans="1:6">
      <c r="A8" s="4" t="s">
        <v>116</v>
      </c>
      <c r="B8" s="4">
        <v>9</v>
      </c>
      <c r="C8" s="5">
        <v>46282</v>
      </c>
      <c r="D8" s="4" t="s">
        <v>117</v>
      </c>
      <c r="E8" s="4" t="s">
        <v>26</v>
      </c>
      <c r="F8" s="4"/>
    </row>
    <row r="9" spans="1:6">
      <c r="A9" s="4" t="s">
        <v>118</v>
      </c>
      <c r="B9" s="4">
        <v>10</v>
      </c>
      <c r="C9" s="5">
        <v>46283</v>
      </c>
      <c r="D9" s="4" t="s">
        <v>145</v>
      </c>
      <c r="E9" s="4" t="s">
        <v>26</v>
      </c>
      <c r="F9" s="4"/>
    </row>
  </sheetData>
  <mergeCells count="1">
    <mergeCell ref="A1:F1"/>
  </mergeCells>
  <dataValidations count="1">
    <dataValidation type="list" sqref="E3:E9" xr:uid="{00000000-0002-0000-0300-000000000000}">
      <formula1>"Not Started,In Progress,Done,Blocked"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Project Plan</vt:lpstr>
      <vt:lpstr>Daily Log</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Reyhaneh Ghaderi Chermahini</cp:lastModifiedBy>
  <dcterms:modified xsi:type="dcterms:W3CDTF">2026-09-19T08:54:20Z</dcterms:modified>
</cp:coreProperties>
</file>